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ownloads\حياه كريمه\"/>
    </mc:Choice>
  </mc:AlternateContent>
  <xr:revisionPtr revIDLastSave="0" documentId="13_ncr:1_{F0DC80B7-A746-4BC1-98E1-A4ECF27D6E54}" xr6:coauthVersionLast="47" xr6:coauthVersionMax="47" xr10:uidLastSave="{00000000-0000-0000-0000-000000000000}"/>
  <bookViews>
    <workbookView xWindow="-120" yWindow="-120" windowWidth="24240" windowHeight="18240" xr2:uid="{00000000-000D-0000-FFFF-FFFF00000000}"/>
  </bookViews>
  <sheets>
    <sheet name="main analysis" sheetId="1" r:id="rId1"/>
    <sheet name="حياه فشيخه" sheetId="2" r:id="rId2"/>
    <sheet name="KPIs" sheetId="4" r:id="rId3"/>
  </sheets>
  <definedNames>
    <definedName name="_xlnm._FilterDatabase" localSheetId="0" hidden="1">'main analysis'!$L$3:$N$3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4" l="1"/>
  <c r="L5" i="4"/>
  <c r="E6" i="4"/>
  <c r="L4" i="4" s="1"/>
  <c r="E5" i="4"/>
  <c r="E4" i="4"/>
  <c r="L9" i="4" s="1"/>
  <c r="S15" i="2"/>
  <c r="S14" i="2"/>
  <c r="L15" i="2"/>
  <c r="K7" i="2"/>
  <c r="E16" i="2"/>
  <c r="C20" i="2" s="1"/>
  <c r="F8" i="1"/>
  <c r="L6" i="4" l="1"/>
  <c r="L8" i="4"/>
  <c r="C21" i="2"/>
</calcChain>
</file>

<file path=xl/sharedStrings.xml><?xml version="1.0" encoding="utf-8"?>
<sst xmlns="http://schemas.openxmlformats.org/spreadsheetml/2006/main" count="87" uniqueCount="77">
  <si>
    <t>12,729 كم²</t>
  </si>
  <si>
    <t>المؤشر</t>
  </si>
  <si>
    <t>القيمة</t>
  </si>
  <si>
    <t>عدد السكان</t>
  </si>
  <si>
    <t>3.6 مليون نسمة</t>
  </si>
  <si>
    <t>نسبة من سكان مصر</t>
  </si>
  <si>
    <t>نسبة سكان الريف</t>
  </si>
  <si>
    <t>المساحة</t>
  </si>
  <si>
    <t>نسبة المساحة المأهولة</t>
  </si>
  <si>
    <t>السكان (الديموجرافيا)</t>
  </si>
  <si>
    <t>عدد المشتغلين</t>
  </si>
  <si>
    <t>عدد المنشآت</t>
  </si>
  <si>
    <t>مساهمة في اقتصاد مصر</t>
  </si>
  <si>
    <t>العمالة والاقتصاد</t>
  </si>
  <si>
    <t>توزيع الأنشطة الاقتصادية</t>
  </si>
  <si>
    <t>القطاع</t>
  </si>
  <si>
    <t>النسبة</t>
  </si>
  <si>
    <t>الزراعة</t>
  </si>
  <si>
    <t>الصناعة التحويلية</t>
  </si>
  <si>
    <t>التشييد والبناء</t>
  </si>
  <si>
    <t>تجارة الجملة والتجزئة</t>
  </si>
  <si>
    <t>العقارات</t>
  </si>
  <si>
    <t>أخرى</t>
  </si>
  <si>
    <t>القيمة (مليون جنيه)</t>
  </si>
  <si>
    <t>التنمية المحلية</t>
  </si>
  <si>
    <t>الإسكان</t>
  </si>
  <si>
    <t>التعليم العالي</t>
  </si>
  <si>
    <t>النقل</t>
  </si>
  <si>
    <t>التعليم قبل الجامعي</t>
  </si>
  <si>
    <t>الإجمالي</t>
  </si>
  <si>
    <t>الاستثمارات</t>
  </si>
  <si>
    <t>نسبة سكان الحضر</t>
  </si>
  <si>
    <t>متوسط المشتغلين بكل منشأه</t>
  </si>
  <si>
    <r>
      <t xml:space="preserve">حوالي </t>
    </r>
    <r>
      <rPr>
        <b/>
        <sz val="11"/>
        <color rgb="FFFF0000"/>
        <rFont val="AmmanV3 Sans Bold"/>
        <family val="3"/>
      </rPr>
      <t>10</t>
    </r>
    <r>
      <rPr>
        <sz val="11"/>
        <color theme="1"/>
        <rFont val="AmmanV3 Sans Bold"/>
        <family val="3"/>
      </rPr>
      <t xml:space="preserve"> عمال لكل منشأة</t>
    </r>
  </si>
  <si>
    <t>البنية التحتية</t>
  </si>
  <si>
    <t>العدد</t>
  </si>
  <si>
    <t>مدارس</t>
  </si>
  <si>
    <t>فصول</t>
  </si>
  <si>
    <t>مستشفيات</t>
  </si>
  <si>
    <t>وحدات صحية</t>
  </si>
  <si>
    <t>طرق</t>
  </si>
  <si>
    <t>صرف صحي</t>
  </si>
  <si>
    <t>مياه</t>
  </si>
  <si>
    <t>أبراج محمول</t>
  </si>
  <si>
    <t>التغطية</t>
  </si>
  <si>
    <t>86 قرية</t>
  </si>
  <si>
    <t>1.5 مليون مستفيد</t>
  </si>
  <si>
    <t>5 مراكز</t>
  </si>
  <si>
    <t>من 70 إلى 80 كم²</t>
  </si>
  <si>
    <t>برج واحد يغطي تقريبًا :</t>
  </si>
  <si>
    <t xml:space="preserve">مساحة قنا تقريبا : </t>
  </si>
  <si>
    <t xml:space="preserve">مساحة الابراج : </t>
  </si>
  <si>
    <t>المساحه المغطاه</t>
  </si>
  <si>
    <t>الغير مغطاه</t>
  </si>
  <si>
    <t>المساحه</t>
  </si>
  <si>
    <t>النسبه</t>
  </si>
  <si>
    <t>متوسط كثافة الوحده :</t>
  </si>
  <si>
    <t>عدد المستفيدين :</t>
  </si>
  <si>
    <t>قدرة استيعاب الوحده :</t>
  </si>
  <si>
    <t>عدد تقديري</t>
  </si>
  <si>
    <t>للطلاب :</t>
  </si>
  <si>
    <t>قدرة استيعاب الفصل :</t>
  </si>
  <si>
    <t>متوسط كافة الفصل :</t>
  </si>
  <si>
    <t>عدد الفصول :</t>
  </si>
  <si>
    <t>KPIs</t>
  </si>
  <si>
    <t>KPI</t>
  </si>
  <si>
    <t>Output</t>
  </si>
  <si>
    <t>عدد المستفيدين لكل قرية</t>
  </si>
  <si>
    <t>نسبة القرى المغطاة</t>
  </si>
  <si>
    <t>متوسط المشاريع لكل قرية</t>
  </si>
  <si>
    <t>نصيب الفرد من الاستثمار</t>
  </si>
  <si>
    <t>الاستثمار لكل قرية</t>
  </si>
  <si>
    <t>إجمالي الاستثمار</t>
  </si>
  <si>
    <t>المستفيدين</t>
  </si>
  <si>
    <t>القرى المستهدفة</t>
  </si>
  <si>
    <t>إجمالي القرى</t>
  </si>
  <si>
    <t>نسبة المستفيدين من السكان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</si>
</sst>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 tint="-4.9989318521683403E-2"/>
      <name val="AmmanV3 Sans Bold"/>
      <family val="3"/>
    </font>
    <font>
      <sz val="11"/>
      <color theme="1"/>
      <name val="AmmanV3 Sans Bold"/>
      <family val="3"/>
    </font>
    <font>
      <b/>
      <sz val="24"/>
      <color theme="0" tint="-4.9989318521683403E-2"/>
      <name val="AmmanV3 Sans Bold"/>
      <family val="3"/>
    </font>
    <font>
      <b/>
      <sz val="11"/>
      <color theme="1"/>
      <name val="AmmanV3 Sans Bold"/>
      <family val="3"/>
    </font>
    <font>
      <sz val="11"/>
      <color theme="0" tint="-4.9989318521683403E-2"/>
      <name val="AmmanV3 Sans Bold"/>
      <family val="3"/>
    </font>
    <font>
      <sz val="24"/>
      <color theme="0" tint="-4.9989318521683403E-2"/>
      <name val="AmmanV3 Sans Bold"/>
      <family val="3"/>
    </font>
    <font>
      <sz val="28"/>
      <color theme="0" tint="-4.9989318521683403E-2"/>
      <name val="AmmanV3 Sans Bold"/>
      <family val="3"/>
    </font>
    <font>
      <sz val="14"/>
      <color theme="1"/>
      <name val="AmmanV3 Sans Bold"/>
      <family val="3"/>
    </font>
    <font>
      <b/>
      <sz val="11"/>
      <color rgb="FFFF0000"/>
      <name val="AmmanV3 Sans Bold"/>
      <family val="3"/>
    </font>
    <font>
      <sz val="48"/>
      <color theme="0" tint="-4.9989318521683403E-2"/>
      <name val="AmmanV3 Sans Bold"/>
      <family val="3"/>
    </font>
    <font>
      <sz val="36"/>
      <color theme="0" tint="-4.9989318521683403E-2"/>
      <name val="AmmanV3 Sans Bold"/>
      <family val="3"/>
    </font>
    <font>
      <sz val="11"/>
      <color theme="1" tint="0.14999847407452621"/>
      <name val="AmmanV3 Sans Bold"/>
      <family val="3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9" fontId="3" fillId="0" borderId="0" xfId="2" applyFont="1" applyAlignment="1">
      <alignment horizontal="center" vertical="center"/>
    </xf>
    <xf numFmtId="2" fontId="6" fillId="2" borderId="0" xfId="2" applyNumberFormat="1" applyFont="1" applyFill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3" fillId="0" borderId="0" xfId="0" applyFont="1"/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6" fillId="2" borderId="4" xfId="0" applyFont="1" applyFill="1" applyBorder="1"/>
    <xf numFmtId="0" fontId="6" fillId="2" borderId="0" xfId="0" applyFont="1" applyFill="1"/>
    <xf numFmtId="0" fontId="2" fillId="2" borderId="0" xfId="0" applyFont="1" applyFill="1" applyAlignment="1">
      <alignment horizontal="left" vertical="top"/>
    </xf>
    <xf numFmtId="0" fontId="6" fillId="2" borderId="7" xfId="0" applyFont="1" applyFill="1" applyBorder="1"/>
    <xf numFmtId="164" fontId="6" fillId="2" borderId="0" xfId="1" applyNumberFormat="1" applyFont="1" applyFill="1" applyBorder="1" applyAlignment="1">
      <alignment horizontal="right" readingOrder="2"/>
    </xf>
    <xf numFmtId="164" fontId="6" fillId="2" borderId="0" xfId="1" applyNumberFormat="1" applyFont="1" applyFill="1" applyBorder="1" applyAlignment="1"/>
    <xf numFmtId="0" fontId="6" fillId="2" borderId="8" xfId="0" applyFont="1" applyFill="1" applyBorder="1"/>
    <xf numFmtId="0" fontId="6" fillId="2" borderId="1" xfId="0" applyFont="1" applyFill="1" applyBorder="1"/>
    <xf numFmtId="0" fontId="6" fillId="2" borderId="9" xfId="0" applyFont="1" applyFill="1" applyBorder="1"/>
    <xf numFmtId="0" fontId="6" fillId="2" borderId="0" xfId="0" applyFont="1" applyFill="1" applyAlignment="1">
      <alignment horizontal="right"/>
    </xf>
    <xf numFmtId="164" fontId="6" fillId="2" borderId="0" xfId="1" applyNumberFormat="1" applyFont="1" applyFill="1" applyBorder="1" applyAlignment="1">
      <alignment horizontal="center" vertical="center"/>
    </xf>
    <xf numFmtId="164" fontId="6" fillId="2" borderId="0" xfId="1" applyNumberFormat="1" applyFont="1" applyFill="1" applyAlignment="1">
      <alignment horizontal="center" vertical="center"/>
    </xf>
    <xf numFmtId="0" fontId="13" fillId="3" borderId="0" xfId="0" applyFont="1" applyFill="1"/>
    <xf numFmtId="164" fontId="6" fillId="2" borderId="0" xfId="1" applyNumberFormat="1" applyFont="1" applyFill="1" applyBorder="1" applyAlignment="1">
      <alignment horizontal="left" vertical="top"/>
    </xf>
    <xf numFmtId="164" fontId="6" fillId="2" borderId="0" xfId="1" applyNumberFormat="1" applyFont="1" applyFill="1" applyBorder="1" applyAlignment="1">
      <alignment horizontal="center" vertical="top" readingOrder="2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readingOrder="2"/>
    </xf>
    <xf numFmtId="0" fontId="1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9" fontId="3" fillId="3" borderId="0" xfId="2" applyFont="1" applyFill="1" applyAlignment="1">
      <alignment horizontal="center" vertical="center"/>
    </xf>
    <xf numFmtId="164" fontId="6" fillId="3" borderId="0" xfId="1" applyNumberFormat="1" applyFont="1" applyFill="1" applyBorder="1" applyAlignment="1">
      <alignment horizontal="right" readingOrder="2"/>
    </xf>
    <xf numFmtId="164" fontId="6" fillId="3" borderId="0" xfId="1" applyNumberFormat="1" applyFont="1" applyFill="1" applyBorder="1" applyAlignment="1">
      <alignment horizontal="center" vertical="center"/>
    </xf>
    <xf numFmtId="164" fontId="6" fillId="3" borderId="0" xfId="1" applyNumberFormat="1" applyFont="1" applyFill="1" applyBorder="1" applyAlignment="1">
      <alignment horizontal="center" vertical="top" readingOrder="2"/>
    </xf>
    <xf numFmtId="164" fontId="6" fillId="3" borderId="0" xfId="1" applyNumberFormat="1" applyFont="1" applyFill="1" applyBorder="1" applyAlignment="1"/>
    <xf numFmtId="164" fontId="6" fillId="3" borderId="0" xfId="1" applyNumberFormat="1" applyFont="1" applyFill="1" applyBorder="1" applyAlignment="1">
      <alignment horizontal="left" vertical="top"/>
    </xf>
    <xf numFmtId="0" fontId="3" fillId="3" borderId="0" xfId="0" applyFont="1" applyFill="1" applyBorder="1"/>
    <xf numFmtId="0" fontId="6" fillId="3" borderId="0" xfId="0" applyFont="1" applyFill="1" applyBorder="1"/>
    <xf numFmtId="0" fontId="6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top"/>
    </xf>
    <xf numFmtId="0" fontId="6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right"/>
    </xf>
    <xf numFmtId="0" fontId="13" fillId="3" borderId="0" xfId="0" applyFont="1" applyFill="1" applyBorder="1"/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9" fontId="5" fillId="0" borderId="0" xfId="2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mmanV3 Sans Bold" panose="02000000000000000000" pitchFamily="50" charset="-78"/>
                <a:ea typeface="+mn-ea"/>
                <a:cs typeface="AmmanV3 Sans Bold" panose="02000000000000000000" pitchFamily="50" charset="-78"/>
              </a:defRPr>
            </a:pPr>
            <a:r>
              <a:rPr lang="ar-EG">
                <a:latin typeface="AmmanV3 Sans Bold" panose="02000000000000000000" pitchFamily="50" charset="-78"/>
                <a:cs typeface="AmmanV3 Sans Bold" panose="02000000000000000000" pitchFamily="50" charset="-78"/>
              </a:rPr>
              <a:t>توزيع الأنشطة الاقتصادية</a:t>
            </a:r>
            <a:endParaRPr lang="en-US">
              <a:latin typeface="AmmanV3 Sans Bold" panose="02000000000000000000" pitchFamily="50" charset="-78"/>
              <a:cs typeface="AmmanV3 Sans Bold" panose="02000000000000000000" pitchFamily="50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832-42BC-8A5D-92B35173F333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E0F-4BF7-AE99-D2F2171AE0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mmanV3 Sans Bold" panose="02000000000000000000" pitchFamily="50" charset="-78"/>
                    <a:ea typeface="+mn-ea"/>
                    <a:cs typeface="AmmanV3 Sans Bold" panose="02000000000000000000" pitchFamily="50" charset="-78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'main analysis'!$I$4:$I$9</c:f>
              <c:strCache>
                <c:ptCount val="6"/>
                <c:pt idx="0">
                  <c:v>الزراعة</c:v>
                </c:pt>
                <c:pt idx="1">
                  <c:v>الصناعة التحويلية</c:v>
                </c:pt>
                <c:pt idx="2">
                  <c:v>أخرى</c:v>
                </c:pt>
                <c:pt idx="3">
                  <c:v>التشييد والبناء</c:v>
                </c:pt>
                <c:pt idx="4">
                  <c:v>تجارة الجملة والتجزئة</c:v>
                </c:pt>
                <c:pt idx="5">
                  <c:v>العقارات</c:v>
                </c:pt>
              </c:strCache>
            </c:strRef>
          </c:cat>
          <c:val>
            <c:numRef>
              <c:f>'main analysis'!$J$4:$J$9</c:f>
              <c:numCache>
                <c:formatCode>0%</c:formatCode>
                <c:ptCount val="6"/>
                <c:pt idx="0">
                  <c:v>0.21</c:v>
                </c:pt>
                <c:pt idx="1">
                  <c:v>0.19</c:v>
                </c:pt>
                <c:pt idx="2">
                  <c:v>0.19</c:v>
                </c:pt>
                <c:pt idx="3">
                  <c:v>0.17</c:v>
                </c:pt>
                <c:pt idx="4">
                  <c:v>0.15</c:v>
                </c:pt>
                <c:pt idx="5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2-42BC-8A5D-92B35173F3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9230824"/>
        <c:axId val="629234064"/>
      </c:barChart>
      <c:catAx>
        <c:axId val="62923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mmanV3 Sans Bold" panose="02000000000000000000" pitchFamily="50" charset="-78"/>
                <a:ea typeface="+mn-ea"/>
                <a:cs typeface="AmmanV3 Sans Bold" panose="02000000000000000000" pitchFamily="50" charset="-78"/>
              </a:defRPr>
            </a:pPr>
            <a:endParaRPr lang="ar-EG"/>
          </a:p>
        </c:txPr>
        <c:crossAx val="629234064"/>
        <c:crosses val="autoZero"/>
        <c:auto val="1"/>
        <c:lblAlgn val="ctr"/>
        <c:lblOffset val="100"/>
        <c:noMultiLvlLbl val="0"/>
      </c:catAx>
      <c:valAx>
        <c:axId val="62923406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29230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ar-EG">
                <a:latin typeface="AmmanV3 Sans Bold" panose="02000000000000000000" pitchFamily="50" charset="-78"/>
                <a:cs typeface="AmmanV3 Sans Bold" panose="02000000000000000000" pitchFamily="50" charset="-78"/>
              </a:rPr>
              <a:t>نسبة الاستثمارات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 analysis'!$M$3</c:f>
              <c:strCache>
                <c:ptCount val="1"/>
                <c:pt idx="0">
                  <c:v>النسبة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832-42BC-8A5D-92B35173F333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916-4557-AF98-DF30952CA3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mmanV3 Sans Bold" panose="02000000000000000000" pitchFamily="50" charset="-78"/>
                    <a:ea typeface="+mn-ea"/>
                    <a:cs typeface="AmmanV3 Sans Bold" panose="02000000000000000000" pitchFamily="50" charset="-78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'main analysis'!$L$5:$L$10</c:f>
              <c:strCache>
                <c:ptCount val="6"/>
                <c:pt idx="0">
                  <c:v>التنمية المحلية</c:v>
                </c:pt>
                <c:pt idx="1">
                  <c:v>الإسكان</c:v>
                </c:pt>
                <c:pt idx="2">
                  <c:v>التعليم العالي</c:v>
                </c:pt>
                <c:pt idx="3">
                  <c:v>أخرى</c:v>
                </c:pt>
                <c:pt idx="4">
                  <c:v>النقل</c:v>
                </c:pt>
                <c:pt idx="5">
                  <c:v>التعليم قبل الجامعي</c:v>
                </c:pt>
              </c:strCache>
            </c:strRef>
          </c:cat>
          <c:val>
            <c:numRef>
              <c:f>'main analysis'!$M$5:$M$10</c:f>
              <c:numCache>
                <c:formatCode>0%</c:formatCode>
                <c:ptCount val="6"/>
                <c:pt idx="0">
                  <c:v>0.3</c:v>
                </c:pt>
                <c:pt idx="1">
                  <c:v>0.23</c:v>
                </c:pt>
                <c:pt idx="2">
                  <c:v>0.16</c:v>
                </c:pt>
                <c:pt idx="3">
                  <c:v>0.14000000000000001</c:v>
                </c:pt>
                <c:pt idx="4">
                  <c:v>0.11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2-42BC-8A5D-92B35173F3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9230824"/>
        <c:axId val="629234064"/>
      </c:barChart>
      <c:catAx>
        <c:axId val="62923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mmanV3 Sans Bold" panose="02000000000000000000" pitchFamily="50" charset="-78"/>
                <a:ea typeface="+mn-ea"/>
                <a:cs typeface="AmmanV3 Sans Bold" panose="02000000000000000000" pitchFamily="50" charset="-78"/>
              </a:defRPr>
            </a:pPr>
            <a:endParaRPr lang="ar-EG"/>
          </a:p>
        </c:txPr>
        <c:crossAx val="629234064"/>
        <c:crosses val="autoZero"/>
        <c:auto val="1"/>
        <c:lblAlgn val="ctr"/>
        <c:lblOffset val="100"/>
        <c:noMultiLvlLbl val="0"/>
      </c:catAx>
      <c:valAx>
        <c:axId val="62923406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29230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mmanV3 Sans Bold" panose="02000000000000000000" pitchFamily="50" charset="-78"/>
                <a:ea typeface="+mn-ea"/>
                <a:cs typeface="AmmanV3 Sans Bold" panose="02000000000000000000" pitchFamily="50" charset="-78"/>
              </a:defRPr>
            </a:pPr>
            <a:r>
              <a:rPr lang="ar-EG">
                <a:latin typeface="AmmanV3 Sans Bold" panose="02000000000000000000" pitchFamily="50" charset="-78"/>
                <a:cs typeface="AmmanV3 Sans Bold" panose="02000000000000000000" pitchFamily="50" charset="-78"/>
              </a:rPr>
              <a:t>نسبة سكان</a:t>
            </a:r>
            <a:endParaRPr lang="en-US">
              <a:latin typeface="AmmanV3 Sans Bold" panose="02000000000000000000" pitchFamily="50" charset="-78"/>
              <a:cs typeface="AmmanV3 Sans Bold" panose="02000000000000000000" pitchFamily="50" charset="-78"/>
            </a:endParaRPr>
          </a:p>
          <a:p>
            <a:pPr>
              <a:defRPr>
                <a:latin typeface="AmmanV3 Sans Bold" panose="02000000000000000000" pitchFamily="50" charset="-78"/>
                <a:cs typeface="AmmanV3 Sans Bold" panose="02000000000000000000" pitchFamily="50" charset="-78"/>
              </a:defRPr>
            </a:pPr>
            <a:r>
              <a:rPr lang="ar-EG">
                <a:latin typeface="AmmanV3 Sans Bold" panose="02000000000000000000" pitchFamily="50" charset="-78"/>
                <a:cs typeface="AmmanV3 Sans Bold" panose="02000000000000000000" pitchFamily="50" charset="-78"/>
              </a:rPr>
              <a:t>الحضر الي</a:t>
            </a:r>
            <a:r>
              <a:rPr lang="ar-EG" baseline="0">
                <a:latin typeface="AmmanV3 Sans Bold" panose="02000000000000000000" pitchFamily="50" charset="-78"/>
                <a:cs typeface="AmmanV3 Sans Bold" panose="02000000000000000000" pitchFamily="50" charset="-78"/>
              </a:rPr>
              <a:t> ا</a:t>
            </a:r>
            <a:r>
              <a:rPr lang="ar-EG">
                <a:latin typeface="AmmanV3 Sans Bold" panose="02000000000000000000" pitchFamily="50" charset="-78"/>
                <a:cs typeface="AmmanV3 Sans Bold" panose="02000000000000000000" pitchFamily="50" charset="-78"/>
              </a:rPr>
              <a:t>لريف</a:t>
            </a:r>
            <a:endParaRPr lang="en-US">
              <a:latin typeface="AmmanV3 Sans Bold" panose="02000000000000000000" pitchFamily="50" charset="-78"/>
              <a:cs typeface="AmmanV3 Sans Bold" panose="02000000000000000000" pitchFamily="50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0807086614173226E-2"/>
              <c:y val="-2.87303149606300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0251531058617673E-2"/>
              <c:y val="-4.07141294838145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E65-45F4-A809-D204CA6D0AF8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E65-45F4-A809-D204CA6D0AF8}"/>
              </c:ext>
            </c:extLst>
          </c:dPt>
          <c:dLbls>
            <c:dLbl>
              <c:idx val="0"/>
              <c:layout>
                <c:manualLayout>
                  <c:x val="4.0807086614173226E-2"/>
                  <c:y val="-2.873031496063000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65-45F4-A809-D204CA6D0AF8}"/>
                </c:ext>
              </c:extLst>
            </c:dLbl>
            <c:dLbl>
              <c:idx val="1"/>
              <c:layout>
                <c:manualLayout>
                  <c:x val="-1.0251531058617673E-2"/>
                  <c:y val="-4.071412948381452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65-45F4-A809-D204CA6D0A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mmanV3 Sans Bold" panose="02000000000000000000" pitchFamily="50" charset="-78"/>
                    <a:ea typeface="+mn-ea"/>
                    <a:cs typeface="AmmanV3 Sans Bold" panose="02000000000000000000" pitchFamily="50" charset="-78"/>
                  </a:defRPr>
                </a:pPr>
                <a:endParaRPr lang="ar-E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'main analysis'!$B$6:$B$7</c:f>
              <c:strCache>
                <c:ptCount val="2"/>
                <c:pt idx="0">
                  <c:v>نسبة سكان الريف</c:v>
                </c:pt>
                <c:pt idx="1">
                  <c:v>نسبة سكان الحضر</c:v>
                </c:pt>
              </c:strCache>
            </c:strRef>
          </c:cat>
          <c:val>
            <c:numRef>
              <c:f>'main analysis'!$C$6:$C$7</c:f>
              <c:numCache>
                <c:formatCode>0%</c:formatCode>
                <c:ptCount val="2"/>
                <c:pt idx="0">
                  <c:v>0.82</c:v>
                </c:pt>
                <c:pt idx="1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5-45F4-A809-D204CA6D0A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defRPr>
          </a:pPr>
          <a:endParaRPr lang="ar-EG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0807086614173226E-2"/>
              <c:y val="-2.87303149606300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0251531058617673E-2"/>
              <c:y val="-4.07141294838145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'حياه فشيخه'!$C$19</c:f>
              <c:strCache>
                <c:ptCount val="1"/>
                <c:pt idx="0">
                  <c:v>النسبه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E65-45F4-A809-D204CA6D0AF8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E65-45F4-A809-D204CA6D0AF8}"/>
              </c:ext>
            </c:extLst>
          </c:dPt>
          <c:dLbls>
            <c:dLbl>
              <c:idx val="0"/>
              <c:layout>
                <c:manualLayout>
                  <c:x val="4.0807086614173226E-2"/>
                  <c:y val="-2.873031496063000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65-45F4-A809-D204CA6D0AF8}"/>
                </c:ext>
              </c:extLst>
            </c:dLbl>
            <c:dLbl>
              <c:idx val="1"/>
              <c:layout>
                <c:manualLayout>
                  <c:x val="-1.0251531058617673E-2"/>
                  <c:y val="-4.071412948381452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65-45F4-A809-D204CA6D0A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'حياه فشيخه'!$B$20:$B$21</c:f>
              <c:strCache>
                <c:ptCount val="2"/>
                <c:pt idx="0">
                  <c:v>المساحه المغطاه</c:v>
                </c:pt>
                <c:pt idx="1">
                  <c:v>الغير مغطاه</c:v>
                </c:pt>
              </c:strCache>
            </c:strRef>
          </c:cat>
          <c:val>
            <c:numRef>
              <c:f>'حياه فشيخه'!$C$20:$C$21</c:f>
              <c:numCache>
                <c:formatCode>0%</c:formatCode>
                <c:ptCount val="2"/>
                <c:pt idx="0">
                  <c:v>0.67876502474664158</c:v>
                </c:pt>
                <c:pt idx="1">
                  <c:v>0.32123497525335842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5-45F4-A809-D204CA6D0A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832-42BC-8A5D-92B35173F3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'حياه فشيخه'!$J$15:$J$16</c:f>
              <c:strCache>
                <c:ptCount val="2"/>
                <c:pt idx="0">
                  <c:v>متوسط كثافة الوحده :</c:v>
                </c:pt>
                <c:pt idx="1">
                  <c:v>قدرة استيعاب الوحده :</c:v>
                </c:pt>
              </c:strCache>
            </c:strRef>
          </c:cat>
          <c:val>
            <c:numRef>
              <c:f>'حياه فشيخه'!$K$15:$K$16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8832-42BC-8A5D-92B35173F333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3F9-4144-9155-DC2033E07369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F9-4144-9155-DC2033E073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mmanV3 Sans Bold" panose="02000000000000000000" pitchFamily="50" charset="-78"/>
                    <a:ea typeface="+mn-ea"/>
                    <a:cs typeface="AmmanV3 Sans Bold" panose="02000000000000000000" pitchFamily="50" charset="-78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'حياه فشيخه'!$J$15:$J$16</c:f>
              <c:strCache>
                <c:ptCount val="2"/>
                <c:pt idx="0">
                  <c:v>متوسط كثافة الوحده :</c:v>
                </c:pt>
                <c:pt idx="1">
                  <c:v>قدرة استيعاب الوحده :</c:v>
                </c:pt>
              </c:strCache>
            </c:strRef>
          </c:cat>
          <c:val>
            <c:numRef>
              <c:f>'حياه فشيخه'!$L$15:$L$16</c:f>
              <c:numCache>
                <c:formatCode>_-* #,##0_-;\-* #,##0_-;_-* "-"??_-;_-@_-</c:formatCode>
                <c:ptCount val="2"/>
                <c:pt idx="0">
                  <c:v>19480.519480519481</c:v>
                </c:pt>
                <c:pt idx="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F9-4144-9155-DC2033E073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9230824"/>
        <c:axId val="629234064"/>
      </c:barChart>
      <c:catAx>
        <c:axId val="62923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mmanV3 Sans Bold" panose="02000000000000000000" pitchFamily="50" charset="-78"/>
                <a:ea typeface="+mn-ea"/>
                <a:cs typeface="AmmanV3 Sans Bold" panose="02000000000000000000" pitchFamily="50" charset="-78"/>
              </a:defRPr>
            </a:pPr>
            <a:endParaRPr lang="ar-EG"/>
          </a:p>
        </c:txPr>
        <c:crossAx val="629234064"/>
        <c:crosses val="autoZero"/>
        <c:auto val="1"/>
        <c:lblAlgn val="ctr"/>
        <c:lblOffset val="100"/>
        <c:noMultiLvlLbl val="0"/>
      </c:catAx>
      <c:valAx>
        <c:axId val="629234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9230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832-42BC-8A5D-92B35173F3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'حياه فشيخه'!$Q$15:$Q$16</c:f>
              <c:strCache>
                <c:ptCount val="2"/>
                <c:pt idx="0">
                  <c:v>متوسط كافة الفصل :</c:v>
                </c:pt>
                <c:pt idx="1">
                  <c:v>قدرة استيعاب الفصل :</c:v>
                </c:pt>
              </c:strCache>
            </c:strRef>
          </c:cat>
          <c:val>
            <c:numRef>
              <c:f>'حياه فشيخه'!$R$15:$R$16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8832-42BC-8A5D-92B35173F333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8F1-440B-8920-85C575519AC3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8F1-440B-8920-85C575519A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mmanV3 Sans Bold" panose="02000000000000000000" pitchFamily="50" charset="-78"/>
                    <a:ea typeface="+mn-ea"/>
                    <a:cs typeface="AmmanV3 Sans Bold" panose="02000000000000000000" pitchFamily="50" charset="-78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'حياه فشيخه'!$Q$15:$Q$16</c:f>
              <c:strCache>
                <c:ptCount val="2"/>
                <c:pt idx="0">
                  <c:v>متوسط كافة الفصل :</c:v>
                </c:pt>
                <c:pt idx="1">
                  <c:v>قدرة استيعاب الفصل :</c:v>
                </c:pt>
              </c:strCache>
            </c:strRef>
          </c:cat>
          <c:val>
            <c:numRef>
              <c:f>'حياه فشيخه'!$S$15:$S$16</c:f>
              <c:numCache>
                <c:formatCode>_-* #,##0_-;\-* #,##0_-;_-* "-"??_-;_-@_-</c:formatCode>
                <c:ptCount val="2"/>
                <c:pt idx="0">
                  <c:v>248.57954545454547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F1-440B-8920-85C575519A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9230824"/>
        <c:axId val="629234064"/>
      </c:barChart>
      <c:catAx>
        <c:axId val="62923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mmanV3 Sans Bold" panose="02000000000000000000" pitchFamily="50" charset="-78"/>
                <a:ea typeface="+mn-ea"/>
                <a:cs typeface="AmmanV3 Sans Bold" panose="02000000000000000000" pitchFamily="50" charset="-78"/>
              </a:defRPr>
            </a:pPr>
            <a:endParaRPr lang="ar-EG"/>
          </a:p>
        </c:txPr>
        <c:crossAx val="629234064"/>
        <c:crosses val="autoZero"/>
        <c:auto val="1"/>
        <c:lblAlgn val="ctr"/>
        <c:lblOffset val="100"/>
        <c:noMultiLvlLbl val="0"/>
      </c:catAx>
      <c:valAx>
        <c:axId val="629234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9230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9</xdr:row>
      <xdr:rowOff>85725</xdr:rowOff>
    </xdr:from>
    <xdr:to>
      <xdr:col>10</xdr:col>
      <xdr:colOff>252413</xdr:colOff>
      <xdr:row>22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6DB2D-A433-88A3-2206-70B4DE191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457200</xdr:colOff>
      <xdr:row>10</xdr:row>
      <xdr:rowOff>142875</xdr:rowOff>
    </xdr:from>
    <xdr:to>
      <xdr:col>14</xdr:col>
      <xdr:colOff>557213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51A624-9DED-348C-D920-446E01A09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10</xdr:row>
      <xdr:rowOff>0</xdr:rowOff>
    </xdr:from>
    <xdr:to>
      <xdr:col>2</xdr:col>
      <xdr:colOff>1166813</xdr:colOff>
      <xdr:row>23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A0CC02-CC87-703E-01FE-9F620CDFD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17</xdr:row>
      <xdr:rowOff>95250</xdr:rowOff>
    </xdr:from>
    <xdr:to>
      <xdr:col>7</xdr:col>
      <xdr:colOff>52388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25D93C-A331-B4AE-C101-643E54E2A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200026</xdr:colOff>
      <xdr:row>17</xdr:row>
      <xdr:rowOff>95250</xdr:rowOff>
    </xdr:from>
    <xdr:to>
      <xdr:col>12</xdr:col>
      <xdr:colOff>566739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86B520-CE89-9819-303B-20CF37666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123825</xdr:colOff>
      <xdr:row>17</xdr:row>
      <xdr:rowOff>95250</xdr:rowOff>
    </xdr:from>
    <xdr:to>
      <xdr:col>19</xdr:col>
      <xdr:colOff>614363</xdr:colOff>
      <xdr:row>31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6D6C80-9453-BF2A-03E7-54A16AF8D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N10"/>
  <sheetViews>
    <sheetView showGridLines="0" rightToLeft="1" tabSelected="1" workbookViewId="0">
      <selection activeCell="E25" sqref="E25"/>
    </sheetView>
  </sheetViews>
  <sheetFormatPr defaultRowHeight="16.5" x14ac:dyDescent="0.2"/>
  <cols>
    <col min="1" max="1" width="1.875" style="2" customWidth="1"/>
    <col min="2" max="2" width="20.25" style="2" customWidth="1"/>
    <col min="3" max="3" width="16.375" style="2" customWidth="1"/>
    <col min="4" max="4" width="4.125" style="2" customWidth="1"/>
    <col min="5" max="5" width="18.5" style="2" bestFit="1" customWidth="1"/>
    <col min="6" max="6" width="10" style="2" customWidth="1"/>
    <col min="7" max="8" width="4.125" style="2" customWidth="1"/>
    <col min="9" max="9" width="16" style="2" customWidth="1"/>
    <col min="10" max="10" width="25" style="2" customWidth="1"/>
    <col min="11" max="11" width="7.625" style="2" customWidth="1"/>
    <col min="12" max="12" width="15.375" style="2" bestFit="1" customWidth="1"/>
    <col min="13" max="13" width="5.375" style="2" bestFit="1" customWidth="1"/>
    <col min="14" max="14" width="15" style="2" bestFit="1" customWidth="1"/>
    <col min="15" max="16384" width="9" style="2"/>
  </cols>
  <sheetData>
    <row r="2" spans="2:14" ht="39" x14ac:dyDescent="0.2">
      <c r="B2" s="48" t="s">
        <v>9</v>
      </c>
      <c r="C2" s="48"/>
      <c r="E2" s="49" t="s">
        <v>13</v>
      </c>
      <c r="F2" s="49"/>
      <c r="I2" s="49" t="s">
        <v>14</v>
      </c>
      <c r="J2" s="49"/>
      <c r="L2" s="50" t="s">
        <v>30</v>
      </c>
      <c r="M2" s="50"/>
      <c r="N2" s="50"/>
    </row>
    <row r="3" spans="2:14" x14ac:dyDescent="0.2">
      <c r="B3" s="5" t="s">
        <v>1</v>
      </c>
      <c r="C3" s="11" t="s">
        <v>2</v>
      </c>
      <c r="E3" s="5" t="s">
        <v>1</v>
      </c>
      <c r="F3" s="11" t="s">
        <v>2</v>
      </c>
      <c r="I3" s="1" t="s">
        <v>15</v>
      </c>
      <c r="J3" s="10" t="s">
        <v>16</v>
      </c>
      <c r="L3" s="5" t="s">
        <v>15</v>
      </c>
      <c r="M3" s="11" t="s">
        <v>16</v>
      </c>
      <c r="N3" s="11" t="s">
        <v>23</v>
      </c>
    </row>
    <row r="4" spans="2:14" x14ac:dyDescent="0.2">
      <c r="B4" s="2" t="s">
        <v>3</v>
      </c>
      <c r="C4" s="2" t="s">
        <v>4</v>
      </c>
      <c r="E4" s="2" t="s">
        <v>10</v>
      </c>
      <c r="F4" s="9">
        <v>836600</v>
      </c>
      <c r="I4" s="3" t="s">
        <v>17</v>
      </c>
      <c r="J4" s="4">
        <v>0.21</v>
      </c>
      <c r="L4" s="8" t="s">
        <v>29</v>
      </c>
      <c r="M4" s="7">
        <v>1</v>
      </c>
      <c r="N4" s="8">
        <v>4277</v>
      </c>
    </row>
    <row r="5" spans="2:14" x14ac:dyDescent="0.2">
      <c r="B5" s="2" t="s">
        <v>5</v>
      </c>
      <c r="C5" s="6">
        <v>3.5000000000000003E-2</v>
      </c>
      <c r="E5" s="2" t="s">
        <v>11</v>
      </c>
      <c r="F5" s="9">
        <v>81300</v>
      </c>
      <c r="I5" s="3" t="s">
        <v>18</v>
      </c>
      <c r="J5" s="4">
        <v>0.19</v>
      </c>
      <c r="L5" s="2" t="s">
        <v>24</v>
      </c>
      <c r="M5" s="7">
        <v>0.3</v>
      </c>
      <c r="N5" s="2">
        <v>1200</v>
      </c>
    </row>
    <row r="6" spans="2:14" x14ac:dyDescent="0.2">
      <c r="B6" s="2" t="s">
        <v>6</v>
      </c>
      <c r="C6" s="7">
        <v>0.82</v>
      </c>
      <c r="E6" s="12" t="s">
        <v>12</v>
      </c>
      <c r="F6" s="13">
        <v>2.1999999999999999E-2</v>
      </c>
      <c r="I6" s="3" t="s">
        <v>22</v>
      </c>
      <c r="J6" s="4">
        <v>0.19</v>
      </c>
      <c r="L6" s="2" t="s">
        <v>25</v>
      </c>
      <c r="M6" s="7">
        <v>0.23</v>
      </c>
      <c r="N6" s="2">
        <v>933</v>
      </c>
    </row>
    <row r="7" spans="2:14" ht="33" customHeight="1" x14ac:dyDescent="0.2">
      <c r="B7" s="2" t="s">
        <v>31</v>
      </c>
      <c r="C7" s="7">
        <v>0.18</v>
      </c>
      <c r="I7" s="3" t="s">
        <v>19</v>
      </c>
      <c r="J7" s="4">
        <v>0.17</v>
      </c>
      <c r="L7" s="2" t="s">
        <v>26</v>
      </c>
      <c r="M7" s="7">
        <v>0.16</v>
      </c>
      <c r="N7" s="2">
        <v>636</v>
      </c>
    </row>
    <row r="8" spans="2:14" ht="36" customHeight="1" x14ac:dyDescent="0.2">
      <c r="B8" s="2" t="s">
        <v>7</v>
      </c>
      <c r="C8" s="2" t="s">
        <v>0</v>
      </c>
      <c r="E8" s="19" t="s">
        <v>32</v>
      </c>
      <c r="F8" s="18">
        <f>F4/F5</f>
        <v>10.290282902829029</v>
      </c>
      <c r="I8" s="2" t="s">
        <v>20</v>
      </c>
      <c r="J8" s="4">
        <v>0.15</v>
      </c>
      <c r="L8" s="2" t="s">
        <v>22</v>
      </c>
      <c r="M8" s="7">
        <v>0.14000000000000001</v>
      </c>
      <c r="N8" s="2">
        <v>555</v>
      </c>
    </row>
    <row r="9" spans="2:14" x14ac:dyDescent="0.2">
      <c r="B9" s="12" t="s">
        <v>8</v>
      </c>
      <c r="C9" s="13">
        <v>0.19600000000000001</v>
      </c>
      <c r="E9" s="41" t="s">
        <v>33</v>
      </c>
      <c r="F9" s="41"/>
      <c r="I9" s="14" t="s">
        <v>21</v>
      </c>
      <c r="J9" s="15">
        <v>0.09</v>
      </c>
      <c r="L9" s="2" t="s">
        <v>27</v>
      </c>
      <c r="M9" s="7">
        <v>0.11</v>
      </c>
      <c r="N9" s="2">
        <v>447</v>
      </c>
    </row>
    <row r="10" spans="2:14" x14ac:dyDescent="0.2">
      <c r="L10" s="12" t="s">
        <v>28</v>
      </c>
      <c r="M10" s="16">
        <v>0.06</v>
      </c>
      <c r="N10" s="12">
        <v>229</v>
      </c>
    </row>
  </sheetData>
  <mergeCells count="5">
    <mergeCell ref="B2:C2"/>
    <mergeCell ref="E2:F2"/>
    <mergeCell ref="I2:J2"/>
    <mergeCell ref="L2:N2"/>
    <mergeCell ref="E9:F9"/>
  </mergeCells>
  <pageMargins left="0.7" right="0.7" top="0.75" bottom="0.75" header="0.3" footer="0.3"/>
  <pageSetup paperSize="0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ED87-3346-4823-8315-2CFB17B862DB}">
  <sheetPr>
    <tabColor rgb="FF92D050"/>
  </sheetPr>
  <dimension ref="B2:T21"/>
  <sheetViews>
    <sheetView showGridLines="0" rightToLeft="1" workbookViewId="0">
      <selection activeCell="D31" sqref="D31"/>
    </sheetView>
  </sheetViews>
  <sheetFormatPr defaultRowHeight="16.5" x14ac:dyDescent="0.35"/>
  <cols>
    <col min="1" max="1" width="1.875" style="20" customWidth="1"/>
    <col min="2" max="4" width="9" style="20"/>
    <col min="5" max="5" width="9.5" style="20" bestFit="1" customWidth="1"/>
    <col min="6" max="11" width="9" style="20"/>
    <col min="12" max="12" width="10" style="20" bestFit="1" customWidth="1"/>
    <col min="13" max="19" width="9" style="20"/>
    <col min="20" max="20" width="10" style="20" bestFit="1" customWidth="1"/>
    <col min="21" max="16384" width="9" style="20"/>
  </cols>
  <sheetData>
    <row r="2" spans="2:20" ht="67.5" x14ac:dyDescent="1.3">
      <c r="B2" s="44" t="s">
        <v>34</v>
      </c>
      <c r="C2" s="44"/>
      <c r="D2" s="44"/>
      <c r="E2" s="44"/>
      <c r="F2" s="44"/>
      <c r="G2" s="44"/>
      <c r="I2" s="42" t="s">
        <v>44</v>
      </c>
      <c r="J2" s="42"/>
      <c r="K2" s="42"/>
    </row>
    <row r="3" spans="2:20" x14ac:dyDescent="0.35">
      <c r="B3" s="45" t="s">
        <v>15</v>
      </c>
      <c r="C3" s="45"/>
      <c r="D3" s="45"/>
      <c r="E3" s="46" t="s">
        <v>35</v>
      </c>
      <c r="F3" s="45"/>
      <c r="G3" s="45"/>
      <c r="I3" s="43" t="s">
        <v>45</v>
      </c>
      <c r="J3" s="43"/>
      <c r="K3" s="43"/>
    </row>
    <row r="4" spans="2:20" x14ac:dyDescent="0.35">
      <c r="B4" s="41" t="s">
        <v>36</v>
      </c>
      <c r="C4" s="41"/>
      <c r="D4" s="41"/>
      <c r="E4" s="41">
        <v>130</v>
      </c>
      <c r="F4" s="41"/>
      <c r="G4" s="41"/>
      <c r="I4" s="43" t="s">
        <v>46</v>
      </c>
      <c r="J4" s="43"/>
      <c r="K4" s="43"/>
    </row>
    <row r="5" spans="2:20" x14ac:dyDescent="0.35">
      <c r="B5" s="41" t="s">
        <v>37</v>
      </c>
      <c r="C5" s="41"/>
      <c r="D5" s="41"/>
      <c r="E5" s="41">
        <v>2112</v>
      </c>
      <c r="F5" s="41"/>
      <c r="G5" s="41"/>
      <c r="I5" s="43" t="s">
        <v>47</v>
      </c>
      <c r="J5" s="43"/>
      <c r="K5" s="43"/>
    </row>
    <row r="6" spans="2:20" x14ac:dyDescent="0.35">
      <c r="B6" s="41" t="s">
        <v>38</v>
      </c>
      <c r="C6" s="41"/>
      <c r="D6" s="41"/>
      <c r="E6" s="41">
        <v>2</v>
      </c>
      <c r="F6" s="41"/>
      <c r="G6" s="41"/>
      <c r="J6" s="2"/>
    </row>
    <row r="7" spans="2:20" x14ac:dyDescent="0.35">
      <c r="B7" s="41" t="s">
        <v>39</v>
      </c>
      <c r="C7" s="41"/>
      <c r="D7" s="41"/>
      <c r="E7" s="41">
        <v>77</v>
      </c>
      <c r="F7" s="41"/>
      <c r="G7" s="41"/>
      <c r="I7" s="21" t="s">
        <v>59</v>
      </c>
      <c r="J7" s="34" t="s">
        <v>60</v>
      </c>
      <c r="K7" s="36">
        <f>1500000*35%</f>
        <v>525000</v>
      </c>
    </row>
    <row r="8" spans="2:20" x14ac:dyDescent="0.35">
      <c r="B8" s="41" t="s">
        <v>40</v>
      </c>
      <c r="C8" s="41"/>
      <c r="D8" s="41"/>
      <c r="E8" s="41">
        <v>95</v>
      </c>
      <c r="F8" s="41"/>
      <c r="G8" s="41"/>
      <c r="S8" s="2"/>
    </row>
    <row r="9" spans="2:20" ht="28.5" customHeight="1" x14ac:dyDescent="0.35">
      <c r="B9" s="41" t="s">
        <v>41</v>
      </c>
      <c r="C9" s="41"/>
      <c r="D9" s="41"/>
      <c r="E9" s="41">
        <v>86</v>
      </c>
      <c r="F9" s="41"/>
      <c r="G9" s="41"/>
    </row>
    <row r="10" spans="2:20" x14ac:dyDescent="0.35">
      <c r="B10" s="41" t="s">
        <v>42</v>
      </c>
      <c r="C10" s="41"/>
      <c r="D10" s="41"/>
      <c r="E10" s="41">
        <v>9</v>
      </c>
      <c r="F10" s="41"/>
      <c r="G10" s="41"/>
    </row>
    <row r="11" spans="2:20" x14ac:dyDescent="0.35">
      <c r="B11" s="47" t="s">
        <v>43</v>
      </c>
      <c r="C11" s="47"/>
      <c r="D11" s="47"/>
      <c r="E11" s="47">
        <v>108</v>
      </c>
      <c r="F11" s="47"/>
      <c r="G11" s="47"/>
    </row>
    <row r="13" spans="2:20" x14ac:dyDescent="0.35">
      <c r="B13" s="22"/>
      <c r="C13" s="23"/>
      <c r="D13" s="23"/>
      <c r="E13" s="23"/>
      <c r="F13" s="24"/>
      <c r="I13" s="22"/>
      <c r="J13" s="23"/>
      <c r="K13" s="23"/>
      <c r="L13" s="23"/>
      <c r="M13" s="24"/>
      <c r="P13" s="22"/>
      <c r="Q13" s="23"/>
      <c r="R13" s="23"/>
      <c r="S13" s="23"/>
      <c r="T13" s="24"/>
    </row>
    <row r="14" spans="2:20" x14ac:dyDescent="0.35">
      <c r="B14" s="25"/>
      <c r="C14" s="21" t="s">
        <v>49</v>
      </c>
      <c r="D14" s="26"/>
      <c r="E14" s="27" t="s">
        <v>48</v>
      </c>
      <c r="F14" s="28"/>
      <c r="I14" s="25"/>
      <c r="J14" s="34" t="s">
        <v>57</v>
      </c>
      <c r="K14" s="26"/>
      <c r="L14" s="29">
        <v>1500000</v>
      </c>
      <c r="M14" s="28"/>
      <c r="P14" s="25"/>
      <c r="Q14" s="34" t="s">
        <v>63</v>
      </c>
      <c r="R14" s="26"/>
      <c r="S14" s="40">
        <f>E5</f>
        <v>2112</v>
      </c>
      <c r="T14" s="28"/>
    </row>
    <row r="15" spans="2:20" x14ac:dyDescent="0.35">
      <c r="B15" s="25"/>
      <c r="C15" s="26" t="s">
        <v>50</v>
      </c>
      <c r="D15" s="26"/>
      <c r="E15" s="29">
        <v>12729</v>
      </c>
      <c r="F15" s="28"/>
      <c r="I15" s="25"/>
      <c r="J15" s="21" t="s">
        <v>56</v>
      </c>
      <c r="K15" s="26"/>
      <c r="L15" s="35">
        <f>L14/E7</f>
        <v>19480.519480519481</v>
      </c>
      <c r="M15" s="28"/>
      <c r="P15" s="25"/>
      <c r="Q15" s="21" t="s">
        <v>62</v>
      </c>
      <c r="R15" s="26"/>
      <c r="S15" s="39">
        <f>K7/S14</f>
        <v>248.57954545454547</v>
      </c>
      <c r="T15" s="28"/>
    </row>
    <row r="16" spans="2:20" x14ac:dyDescent="0.35">
      <c r="B16" s="25"/>
      <c r="C16" s="26" t="s">
        <v>51</v>
      </c>
      <c r="D16" s="26"/>
      <c r="E16" s="30">
        <f>E11*80</f>
        <v>8640</v>
      </c>
      <c r="F16" s="28"/>
      <c r="I16" s="25"/>
      <c r="J16" s="21" t="s">
        <v>58</v>
      </c>
      <c r="K16" s="26"/>
      <c r="L16" s="35">
        <v>10000</v>
      </c>
      <c r="M16" s="28"/>
      <c r="P16" s="25"/>
      <c r="Q16" s="21" t="s">
        <v>61</v>
      </c>
      <c r="R16" s="26"/>
      <c r="S16" s="38">
        <v>50</v>
      </c>
      <c r="T16" s="28"/>
    </row>
    <row r="17" spans="2:20" x14ac:dyDescent="0.35">
      <c r="B17" s="31"/>
      <c r="C17" s="32"/>
      <c r="D17" s="32"/>
      <c r="E17" s="32"/>
      <c r="F17" s="33"/>
      <c r="I17" s="25"/>
      <c r="J17" s="21"/>
      <c r="K17" s="26"/>
      <c r="L17" s="35"/>
      <c r="M17" s="28"/>
      <c r="P17" s="31"/>
      <c r="Q17" s="32"/>
      <c r="R17" s="32"/>
      <c r="S17" s="32"/>
      <c r="T17" s="33"/>
    </row>
    <row r="18" spans="2:20" x14ac:dyDescent="0.35">
      <c r="I18" s="37"/>
      <c r="J18" s="37"/>
      <c r="K18" s="37"/>
      <c r="L18" s="37"/>
      <c r="M18" s="37"/>
    </row>
    <row r="19" spans="2:20" x14ac:dyDescent="0.35">
      <c r="B19" s="21" t="s">
        <v>54</v>
      </c>
      <c r="C19" s="21" t="s">
        <v>55</v>
      </c>
    </row>
    <row r="20" spans="2:20" ht="33" x14ac:dyDescent="0.35">
      <c r="B20" s="3" t="s">
        <v>52</v>
      </c>
      <c r="C20" s="17">
        <f>E16/E15</f>
        <v>0.67876502474664158</v>
      </c>
    </row>
    <row r="21" spans="2:20" ht="33" x14ac:dyDescent="0.35">
      <c r="B21" s="3" t="s">
        <v>53</v>
      </c>
      <c r="C21" s="17">
        <f xml:space="preserve"> 1 - E16/E15</f>
        <v>0.32123497525335842</v>
      </c>
    </row>
  </sheetData>
  <mergeCells count="23">
    <mergeCell ref="E10:G10"/>
    <mergeCell ref="B10:D10"/>
    <mergeCell ref="E11:G11"/>
    <mergeCell ref="B11:D11"/>
    <mergeCell ref="E9:G9"/>
    <mergeCell ref="B9:D9"/>
    <mergeCell ref="I5:K5"/>
    <mergeCell ref="B8:D8"/>
    <mergeCell ref="E7:G7"/>
    <mergeCell ref="B7:D7"/>
    <mergeCell ref="E6:G6"/>
    <mergeCell ref="B6:D6"/>
    <mergeCell ref="E5:G5"/>
    <mergeCell ref="B5:D5"/>
    <mergeCell ref="E8:G8"/>
    <mergeCell ref="E4:G4"/>
    <mergeCell ref="B4:D4"/>
    <mergeCell ref="I2:K2"/>
    <mergeCell ref="I3:K3"/>
    <mergeCell ref="I4:K4"/>
    <mergeCell ref="B2:G2"/>
    <mergeCell ref="B3:D3"/>
    <mergeCell ref="E3:G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E222-8586-4362-82C5-425FF9013F87}">
  <sheetPr>
    <tabColor rgb="FF92D050"/>
  </sheetPr>
  <dimension ref="A1:U20"/>
  <sheetViews>
    <sheetView showGridLines="0" rightToLeft="1" workbookViewId="0">
      <selection activeCell="I20" sqref="I20"/>
    </sheetView>
  </sheetViews>
  <sheetFormatPr defaultRowHeight="16.5" x14ac:dyDescent="0.35"/>
  <cols>
    <col min="1" max="1" width="1.875" style="20" customWidth="1"/>
    <col min="2" max="4" width="9" style="20"/>
    <col min="5" max="5" width="3.25" style="20" customWidth="1"/>
    <col min="6" max="6" width="5.625" style="20" customWidth="1"/>
    <col min="7" max="7" width="4.875" style="20" customWidth="1"/>
    <col min="8" max="8" width="9" style="20"/>
    <col min="9" max="9" width="7.75" style="20" customWidth="1"/>
    <col min="10" max="10" width="7.125" style="20" customWidth="1"/>
    <col min="11" max="11" width="7.5" style="20" customWidth="1"/>
    <col min="12" max="12" width="4" style="20" customWidth="1"/>
    <col min="13" max="13" width="4.125" style="20" customWidth="1"/>
    <col min="14" max="14" width="4.625" style="20" customWidth="1"/>
    <col min="15" max="19" width="9" style="20"/>
    <col min="20" max="20" width="10" style="20" bestFit="1" customWidth="1"/>
    <col min="21" max="16384" width="9" style="20"/>
  </cols>
  <sheetData>
    <row r="1" spans="1:21" x14ac:dyDescent="0.35">
      <c r="I1" s="60"/>
      <c r="J1" s="60"/>
      <c r="K1" s="60"/>
      <c r="L1" s="60"/>
    </row>
    <row r="2" spans="1:21" ht="67.5" x14ac:dyDescent="1.3">
      <c r="B2" s="44" t="s">
        <v>64</v>
      </c>
      <c r="C2" s="44"/>
      <c r="D2" s="44"/>
      <c r="E2" s="44"/>
      <c r="F2" s="44"/>
      <c r="G2" s="44"/>
      <c r="I2" s="44" t="s">
        <v>64</v>
      </c>
      <c r="J2" s="44"/>
      <c r="K2" s="44"/>
      <c r="L2" s="44"/>
      <c r="M2" s="44"/>
      <c r="N2" s="44"/>
    </row>
    <row r="3" spans="1:21" x14ac:dyDescent="0.35">
      <c r="B3" s="45" t="s">
        <v>65</v>
      </c>
      <c r="C3" s="45"/>
      <c r="D3" s="45"/>
      <c r="E3" s="46" t="s">
        <v>66</v>
      </c>
      <c r="F3" s="45"/>
      <c r="G3" s="45"/>
      <c r="I3" s="45" t="s">
        <v>65</v>
      </c>
      <c r="J3" s="45"/>
      <c r="K3" s="45"/>
      <c r="L3" s="46" t="s">
        <v>66</v>
      </c>
      <c r="M3" s="45"/>
      <c r="N3" s="45"/>
    </row>
    <row r="4" spans="1:21" x14ac:dyDescent="0.35">
      <c r="B4" s="41" t="s">
        <v>72</v>
      </c>
      <c r="C4" s="41"/>
      <c r="D4" s="41"/>
      <c r="E4" s="69">
        <f xml:space="preserve"> 4722 * 1000000</f>
        <v>4722000000</v>
      </c>
      <c r="F4" s="69"/>
      <c r="G4" s="69"/>
      <c r="I4" s="41" t="s">
        <v>67</v>
      </c>
      <c r="J4" s="41"/>
      <c r="K4" s="41"/>
      <c r="L4" s="69">
        <f xml:space="preserve"> E6/E7</f>
        <v>17441.860465116279</v>
      </c>
      <c r="M4" s="69"/>
      <c r="N4" s="69"/>
    </row>
    <row r="5" spans="1:21" x14ac:dyDescent="0.35">
      <c r="B5" s="41" t="s">
        <v>3</v>
      </c>
      <c r="C5" s="41"/>
      <c r="D5" s="41"/>
      <c r="E5" s="69">
        <f xml:space="preserve"> 3.6 * 1000000</f>
        <v>3600000</v>
      </c>
      <c r="F5" s="69"/>
      <c r="G5" s="69"/>
      <c r="I5" s="41" t="s">
        <v>68</v>
      </c>
      <c r="J5" s="41"/>
      <c r="K5" s="41"/>
      <c r="L5" s="70">
        <f xml:space="preserve"> E7/E8</f>
        <v>0.56578947368421051</v>
      </c>
      <c r="M5" s="70"/>
      <c r="N5" s="70"/>
    </row>
    <row r="6" spans="1:21" x14ac:dyDescent="0.35">
      <c r="B6" s="41" t="s">
        <v>73</v>
      </c>
      <c r="C6" s="41"/>
      <c r="D6" s="41"/>
      <c r="E6" s="69">
        <f xml:space="preserve"> 1.5 * 1000000</f>
        <v>1500000</v>
      </c>
      <c r="F6" s="69"/>
      <c r="G6" s="69"/>
      <c r="I6" s="68" t="s">
        <v>76</v>
      </c>
      <c r="J6" s="68"/>
      <c r="K6" s="68"/>
      <c r="L6" s="70">
        <f xml:space="preserve"> E6/E5</f>
        <v>0.41666666666666669</v>
      </c>
      <c r="M6" s="70"/>
      <c r="N6" s="70"/>
    </row>
    <row r="7" spans="1:21" x14ac:dyDescent="0.35">
      <c r="B7" s="41" t="s">
        <v>74</v>
      </c>
      <c r="C7" s="41"/>
      <c r="D7" s="41"/>
      <c r="E7" s="41">
        <v>86</v>
      </c>
      <c r="F7" s="41"/>
      <c r="G7" s="41"/>
      <c r="I7" s="41" t="s">
        <v>69</v>
      </c>
      <c r="J7" s="41"/>
      <c r="K7" s="41"/>
      <c r="L7" s="67">
        <f xml:space="preserve"> 150 / E7</f>
        <v>1.7441860465116279</v>
      </c>
      <c r="M7" s="67"/>
      <c r="N7" s="67"/>
    </row>
    <row r="8" spans="1:21" x14ac:dyDescent="0.35">
      <c r="B8" s="41" t="s">
        <v>75</v>
      </c>
      <c r="C8" s="41"/>
      <c r="D8" s="41"/>
      <c r="E8" s="68">
        <v>152</v>
      </c>
      <c r="F8" s="68"/>
      <c r="G8" s="68"/>
      <c r="I8" s="41" t="s">
        <v>70</v>
      </c>
      <c r="J8" s="41"/>
      <c r="K8" s="41"/>
      <c r="L8" s="69">
        <f>E4/E6</f>
        <v>3148</v>
      </c>
      <c r="M8" s="69"/>
      <c r="N8" s="69"/>
      <c r="S8" s="2"/>
    </row>
    <row r="9" spans="1:21" x14ac:dyDescent="0.35">
      <c r="B9" s="41"/>
      <c r="C9" s="41"/>
      <c r="D9" s="41"/>
      <c r="I9" s="41" t="s">
        <v>71</v>
      </c>
      <c r="J9" s="41"/>
      <c r="K9" s="41"/>
      <c r="L9" s="69">
        <f>E4/E7</f>
        <v>54906976.744186044</v>
      </c>
      <c r="M9" s="69"/>
      <c r="N9" s="69"/>
    </row>
    <row r="12" spans="1:21" x14ac:dyDescent="0.35">
      <c r="A12" s="60"/>
      <c r="B12" s="61"/>
      <c r="C12" s="61"/>
      <c r="D12" s="61"/>
      <c r="E12" s="61"/>
      <c r="F12" s="61"/>
      <c r="G12" s="60"/>
      <c r="H12" s="60"/>
      <c r="I12" s="61"/>
      <c r="J12" s="61"/>
      <c r="K12" s="61"/>
      <c r="L12" s="61"/>
      <c r="M12" s="61"/>
      <c r="N12" s="60"/>
      <c r="O12" s="60"/>
      <c r="P12" s="61"/>
      <c r="Q12" s="61"/>
      <c r="R12" s="61"/>
      <c r="S12" s="61"/>
      <c r="T12" s="61"/>
      <c r="U12" s="60"/>
    </row>
    <row r="13" spans="1:21" x14ac:dyDescent="0.35">
      <c r="A13" s="60"/>
      <c r="B13" s="61"/>
      <c r="C13" s="62"/>
      <c r="D13" s="61"/>
      <c r="E13" s="63"/>
      <c r="F13" s="61"/>
      <c r="G13" s="60"/>
      <c r="H13" s="60"/>
      <c r="I13" s="61"/>
      <c r="J13" s="64"/>
      <c r="K13" s="61"/>
      <c r="L13" s="55"/>
      <c r="M13" s="61"/>
      <c r="N13" s="60"/>
      <c r="O13" s="60"/>
      <c r="P13" s="61"/>
      <c r="Q13" s="64"/>
      <c r="R13" s="61"/>
      <c r="S13" s="65"/>
      <c r="T13" s="61"/>
      <c r="U13" s="60"/>
    </row>
    <row r="14" spans="1:21" x14ac:dyDescent="0.35">
      <c r="A14" s="60"/>
      <c r="B14" s="61"/>
      <c r="C14" s="61"/>
      <c r="D14" s="61"/>
      <c r="E14" s="55"/>
      <c r="F14" s="61"/>
      <c r="G14" s="60"/>
      <c r="H14" s="60"/>
      <c r="I14" s="61"/>
      <c r="J14" s="62"/>
      <c r="K14" s="61"/>
      <c r="L14" s="56"/>
      <c r="M14" s="61"/>
      <c r="N14" s="60"/>
      <c r="O14" s="60"/>
      <c r="P14" s="61"/>
      <c r="Q14" s="62"/>
      <c r="R14" s="61"/>
      <c r="S14" s="57"/>
      <c r="T14" s="61"/>
      <c r="U14" s="60"/>
    </row>
    <row r="15" spans="1:21" x14ac:dyDescent="0.35">
      <c r="A15" s="60"/>
      <c r="B15" s="61"/>
      <c r="C15" s="61"/>
      <c r="D15" s="61"/>
      <c r="E15" s="58"/>
      <c r="F15" s="61"/>
      <c r="G15" s="60"/>
      <c r="H15" s="60"/>
      <c r="I15" s="61"/>
      <c r="J15" s="62"/>
      <c r="K15" s="61"/>
      <c r="L15" s="56"/>
      <c r="M15" s="61"/>
      <c r="N15" s="60"/>
      <c r="O15" s="60"/>
      <c r="P15" s="61"/>
      <c r="Q15" s="62"/>
      <c r="R15" s="61"/>
      <c r="S15" s="59"/>
      <c r="T15" s="61"/>
      <c r="U15" s="60"/>
    </row>
    <row r="16" spans="1:21" x14ac:dyDescent="0.35">
      <c r="A16" s="60"/>
      <c r="B16" s="61"/>
      <c r="C16" s="61"/>
      <c r="D16" s="61"/>
      <c r="E16" s="61"/>
      <c r="F16" s="61"/>
      <c r="G16" s="60"/>
      <c r="H16" s="60"/>
      <c r="I16" s="61"/>
      <c r="J16" s="62"/>
      <c r="K16" s="61"/>
      <c r="L16" s="56"/>
      <c r="M16" s="61"/>
      <c r="N16" s="60"/>
      <c r="O16" s="60"/>
      <c r="P16" s="61"/>
      <c r="Q16" s="61"/>
      <c r="R16" s="61"/>
      <c r="S16" s="61"/>
      <c r="T16" s="61"/>
      <c r="U16" s="60"/>
    </row>
    <row r="17" spans="1:21" x14ac:dyDescent="0.35">
      <c r="A17" s="60"/>
      <c r="B17" s="60"/>
      <c r="C17" s="60"/>
      <c r="D17" s="60"/>
      <c r="E17" s="60"/>
      <c r="F17" s="60"/>
      <c r="G17" s="60"/>
      <c r="H17" s="60"/>
      <c r="I17" s="66"/>
      <c r="J17" s="66"/>
      <c r="K17" s="66"/>
      <c r="L17" s="66"/>
      <c r="M17" s="66"/>
      <c r="N17" s="60"/>
      <c r="O17" s="60"/>
      <c r="P17" s="60"/>
      <c r="Q17" s="60"/>
      <c r="R17" s="60"/>
      <c r="S17" s="60"/>
      <c r="T17" s="60"/>
      <c r="U17" s="60"/>
    </row>
    <row r="18" spans="1:21" x14ac:dyDescent="0.35">
      <c r="A18" s="51"/>
      <c r="B18" s="52"/>
      <c r="C18" s="52"/>
      <c r="D18" s="51"/>
    </row>
    <row r="19" spans="1:21" x14ac:dyDescent="0.35">
      <c r="A19" s="51"/>
      <c r="B19" s="53"/>
      <c r="C19" s="54"/>
      <c r="D19" s="51"/>
    </row>
    <row r="20" spans="1:21" x14ac:dyDescent="0.35">
      <c r="A20" s="51"/>
      <c r="B20" s="53"/>
      <c r="C20" s="54"/>
      <c r="D20" s="51"/>
    </row>
  </sheetData>
  <mergeCells count="29">
    <mergeCell ref="L6:N6"/>
    <mergeCell ref="L8:N8"/>
    <mergeCell ref="L9:N9"/>
    <mergeCell ref="I8:K8"/>
    <mergeCell ref="I9:K9"/>
    <mergeCell ref="E8:G8"/>
    <mergeCell ref="I6:K6"/>
    <mergeCell ref="B9:D9"/>
    <mergeCell ref="I2:N2"/>
    <mergeCell ref="L3:N3"/>
    <mergeCell ref="L4:N4"/>
    <mergeCell ref="L5:N5"/>
    <mergeCell ref="I7:K7"/>
    <mergeCell ref="L7:N7"/>
    <mergeCell ref="B7:D7"/>
    <mergeCell ref="E7:G7"/>
    <mergeCell ref="B8:D8"/>
    <mergeCell ref="B5:D5"/>
    <mergeCell ref="E5:G5"/>
    <mergeCell ref="I5:K5"/>
    <mergeCell ref="B6:D6"/>
    <mergeCell ref="E6:G6"/>
    <mergeCell ref="B2:G2"/>
    <mergeCell ref="B3:D3"/>
    <mergeCell ref="E3:G3"/>
    <mergeCell ref="I3:K3"/>
    <mergeCell ref="B4:D4"/>
    <mergeCell ref="E4:G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analysis</vt:lpstr>
      <vt:lpstr>حياه فشيخه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MO_HAFIZA</dc:creator>
  <cp:lastModifiedBy>Office</cp:lastModifiedBy>
  <dcterms:created xsi:type="dcterms:W3CDTF">2015-06-05T18:17:20Z</dcterms:created>
  <dcterms:modified xsi:type="dcterms:W3CDTF">2026-05-02T16:14:13Z</dcterms:modified>
</cp:coreProperties>
</file>